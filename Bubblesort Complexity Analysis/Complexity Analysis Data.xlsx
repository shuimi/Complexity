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ladimir\YandexDisk\Учёба\Complexity Analysis\"/>
    </mc:Choice>
  </mc:AlternateContent>
  <bookViews>
    <workbookView xWindow="0" yWindow="0" windowWidth="23040" windowHeight="919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1" l="1"/>
  <c r="J4" i="1"/>
  <c r="K4" i="1" s="1"/>
  <c r="O4" i="1" s="1"/>
  <c r="J5" i="1"/>
  <c r="J6" i="1"/>
  <c r="J7" i="1"/>
  <c r="J8" i="1"/>
  <c r="K8" i="1" s="1"/>
  <c r="O8" i="1" s="1"/>
  <c r="J9" i="1"/>
  <c r="J10" i="1"/>
  <c r="J11" i="1"/>
  <c r="J12" i="1"/>
  <c r="K12" i="1" s="1"/>
  <c r="O12" i="1" s="1"/>
  <c r="J13" i="1"/>
  <c r="J14" i="1"/>
  <c r="K14" i="1" s="1"/>
  <c r="O14" i="1" s="1"/>
  <c r="J15" i="1"/>
  <c r="J16" i="1"/>
  <c r="J17" i="1"/>
  <c r="J18" i="1"/>
  <c r="J19" i="1"/>
  <c r="J20" i="1"/>
  <c r="J2" i="1"/>
  <c r="K2" i="1" s="1"/>
  <c r="O2" i="1" s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K17" i="1" s="1"/>
  <c r="O17" i="1" s="1"/>
  <c r="I18" i="1"/>
  <c r="I19" i="1"/>
  <c r="I20" i="1"/>
  <c r="I2" i="1"/>
  <c r="K5" i="1"/>
  <c r="K6" i="1"/>
  <c r="K7" i="1"/>
  <c r="O7" i="1" s="1"/>
  <c r="K9" i="1"/>
  <c r="O9" i="1" s="1"/>
  <c r="K13" i="1"/>
  <c r="O13" i="1" s="1"/>
  <c r="K15" i="1"/>
  <c r="O15" i="1" s="1"/>
  <c r="K16" i="1"/>
  <c r="O16" i="1" s="1"/>
  <c r="K20" i="1"/>
  <c r="O20" i="1" s="1"/>
  <c r="O5" i="1"/>
  <c r="O6" i="1"/>
  <c r="K19" i="1" l="1"/>
  <c r="O19" i="1" s="1"/>
  <c r="K11" i="1"/>
  <c r="O11" i="1" s="1"/>
  <c r="K3" i="1"/>
  <c r="O3" i="1" s="1"/>
  <c r="K18" i="1"/>
  <c r="O18" i="1" s="1"/>
  <c r="K10" i="1"/>
  <c r="O10" i="1" s="1"/>
</calcChain>
</file>

<file path=xl/sharedStrings.xml><?xml version="1.0" encoding="utf-8"?>
<sst xmlns="http://schemas.openxmlformats.org/spreadsheetml/2006/main" count="9" uniqueCount="5">
  <si>
    <t>Tmin(n)</t>
  </si>
  <si>
    <t>Tmax(n)</t>
  </si>
  <si>
    <t>Taverage(n)</t>
  </si>
  <si>
    <t>n</t>
  </si>
  <si>
    <t>Taverage невязка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</si>
</sst>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Данные,</a:t>
            </a:r>
            <a:r>
              <a:rPr lang="ru-RU" baseline="0"/>
              <a:t> полученные выполнением программы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Лист1!$A$2:$A$20</c:f>
              <c:numCache>
                <c:formatCode>General</c:formatCode>
                <c:ptCount val="1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</c:numCache>
            </c:numRef>
          </c:cat>
          <c:val>
            <c:numRef>
              <c:f>Лист1!$B$2:$B$20</c:f>
              <c:numCache>
                <c:formatCode>General</c:formatCode>
                <c:ptCount val="19"/>
                <c:pt idx="0">
                  <c:v>9</c:v>
                </c:pt>
                <c:pt idx="1">
                  <c:v>17</c:v>
                </c:pt>
                <c:pt idx="2">
                  <c:v>28</c:v>
                </c:pt>
                <c:pt idx="3">
                  <c:v>42</c:v>
                </c:pt>
                <c:pt idx="4">
                  <c:v>59</c:v>
                </c:pt>
                <c:pt idx="5">
                  <c:v>79</c:v>
                </c:pt>
                <c:pt idx="6">
                  <c:v>102</c:v>
                </c:pt>
                <c:pt idx="7">
                  <c:v>128</c:v>
                </c:pt>
                <c:pt idx="8">
                  <c:v>157</c:v>
                </c:pt>
                <c:pt idx="9">
                  <c:v>189</c:v>
                </c:pt>
                <c:pt idx="10">
                  <c:v>224</c:v>
                </c:pt>
                <c:pt idx="11">
                  <c:v>262</c:v>
                </c:pt>
                <c:pt idx="12">
                  <c:v>303</c:v>
                </c:pt>
                <c:pt idx="13">
                  <c:v>347</c:v>
                </c:pt>
                <c:pt idx="14">
                  <c:v>394</c:v>
                </c:pt>
                <c:pt idx="15">
                  <c:v>444</c:v>
                </c:pt>
                <c:pt idx="16">
                  <c:v>497</c:v>
                </c:pt>
                <c:pt idx="17">
                  <c:v>553</c:v>
                </c:pt>
                <c:pt idx="18">
                  <c:v>612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04-4E7D-B6A4-CE683044DFA6}"/>
            </c:ext>
          </c:extLst>
        </c:ser>
        <c:ser>
          <c:idx val="0"/>
          <c:order val="1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Лист1!$A$2:$A$20</c:f>
              <c:numCache>
                <c:formatCode>General</c:formatCode>
                <c:ptCount val="1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</c:numCache>
            </c:numRef>
          </c:cat>
          <c:val>
            <c:numRef>
              <c:f>Лист1!$C$2:$C$20</c:f>
              <c:numCache>
                <c:formatCode>General</c:formatCode>
                <c:ptCount val="19"/>
                <c:pt idx="0">
                  <c:v>12</c:v>
                </c:pt>
                <c:pt idx="1">
                  <c:v>26</c:v>
                </c:pt>
                <c:pt idx="2">
                  <c:v>46</c:v>
                </c:pt>
                <c:pt idx="3">
                  <c:v>72</c:v>
                </c:pt>
                <c:pt idx="4">
                  <c:v>104</c:v>
                </c:pt>
                <c:pt idx="5">
                  <c:v>142</c:v>
                </c:pt>
                <c:pt idx="6">
                  <c:v>186</c:v>
                </c:pt>
                <c:pt idx="7">
                  <c:v>236</c:v>
                </c:pt>
                <c:pt idx="8">
                  <c:v>292</c:v>
                </c:pt>
                <c:pt idx="9">
                  <c:v>354</c:v>
                </c:pt>
                <c:pt idx="10">
                  <c:v>422</c:v>
                </c:pt>
                <c:pt idx="11">
                  <c:v>496</c:v>
                </c:pt>
                <c:pt idx="12">
                  <c:v>576</c:v>
                </c:pt>
                <c:pt idx="13">
                  <c:v>662</c:v>
                </c:pt>
                <c:pt idx="14">
                  <c:v>754</c:v>
                </c:pt>
                <c:pt idx="15">
                  <c:v>852</c:v>
                </c:pt>
                <c:pt idx="16">
                  <c:v>956</c:v>
                </c:pt>
                <c:pt idx="17">
                  <c:v>1066</c:v>
                </c:pt>
                <c:pt idx="18">
                  <c:v>1182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04-4E7D-B6A4-CE683044DFA6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Лист1!$A$2:$A$20</c:f>
              <c:numCache>
                <c:formatCode>General</c:formatCode>
                <c:ptCount val="1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</c:numCache>
            </c:numRef>
          </c:cat>
          <c:val>
            <c:numRef>
              <c:f>Лист1!$D$2:$D$20</c:f>
              <c:numCache>
                <c:formatCode>General</c:formatCode>
                <c:ptCount val="19"/>
                <c:pt idx="0">
                  <c:v>12</c:v>
                </c:pt>
                <c:pt idx="1">
                  <c:v>17</c:v>
                </c:pt>
                <c:pt idx="2">
                  <c:v>37</c:v>
                </c:pt>
                <c:pt idx="3">
                  <c:v>63</c:v>
                </c:pt>
                <c:pt idx="4">
                  <c:v>86</c:v>
                </c:pt>
                <c:pt idx="5">
                  <c:v>124</c:v>
                </c:pt>
                <c:pt idx="6">
                  <c:v>114</c:v>
                </c:pt>
                <c:pt idx="7">
                  <c:v>170</c:v>
                </c:pt>
                <c:pt idx="8">
                  <c:v>214</c:v>
                </c:pt>
                <c:pt idx="9">
                  <c:v>243</c:v>
                </c:pt>
                <c:pt idx="10">
                  <c:v>314</c:v>
                </c:pt>
                <c:pt idx="11">
                  <c:v>370</c:v>
                </c:pt>
                <c:pt idx="12">
                  <c:v>402</c:v>
                </c:pt>
                <c:pt idx="13">
                  <c:v>443</c:v>
                </c:pt>
                <c:pt idx="14">
                  <c:v>601</c:v>
                </c:pt>
                <c:pt idx="15">
                  <c:v>594</c:v>
                </c:pt>
                <c:pt idx="16">
                  <c:v>653</c:v>
                </c:pt>
                <c:pt idx="17">
                  <c:v>769</c:v>
                </c:pt>
                <c:pt idx="18">
                  <c:v>762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604-4E7D-B6A4-CE683044DF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9646232"/>
        <c:axId val="439648856"/>
      </c:lineChart>
      <c:catAx>
        <c:axId val="4396462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9648856"/>
        <c:crosses val="autoZero"/>
        <c:auto val="1"/>
        <c:lblAlgn val="ctr"/>
        <c:lblOffset val="100"/>
        <c:noMultiLvlLbl val="0"/>
      </c:catAx>
      <c:valAx>
        <c:axId val="439648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T(n)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9646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Данные,</a:t>
            </a:r>
            <a:r>
              <a:rPr lang="ru-RU" baseline="0"/>
              <a:t> полученные аналитически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Tmin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Лист1!$I$2:$I$20</c:f>
              <c:numCache>
                <c:formatCode>General</c:formatCode>
                <c:ptCount val="19"/>
                <c:pt idx="0">
                  <c:v>9</c:v>
                </c:pt>
                <c:pt idx="1">
                  <c:v>17</c:v>
                </c:pt>
                <c:pt idx="2">
                  <c:v>28</c:v>
                </c:pt>
                <c:pt idx="3">
                  <c:v>42</c:v>
                </c:pt>
                <c:pt idx="4">
                  <c:v>59</c:v>
                </c:pt>
                <c:pt idx="5">
                  <c:v>79</c:v>
                </c:pt>
                <c:pt idx="6">
                  <c:v>102</c:v>
                </c:pt>
                <c:pt idx="7">
                  <c:v>128</c:v>
                </c:pt>
                <c:pt idx="8">
                  <c:v>157</c:v>
                </c:pt>
                <c:pt idx="9">
                  <c:v>189</c:v>
                </c:pt>
                <c:pt idx="10">
                  <c:v>224</c:v>
                </c:pt>
                <c:pt idx="11">
                  <c:v>262</c:v>
                </c:pt>
                <c:pt idx="12">
                  <c:v>303</c:v>
                </c:pt>
                <c:pt idx="13">
                  <c:v>347</c:v>
                </c:pt>
                <c:pt idx="14">
                  <c:v>394</c:v>
                </c:pt>
                <c:pt idx="15">
                  <c:v>444</c:v>
                </c:pt>
                <c:pt idx="16">
                  <c:v>497</c:v>
                </c:pt>
                <c:pt idx="17">
                  <c:v>553</c:v>
                </c:pt>
                <c:pt idx="18">
                  <c:v>612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36C-459E-BA8B-1C8C0BC520B8}"/>
            </c:ext>
          </c:extLst>
        </c:ser>
        <c:ser>
          <c:idx val="1"/>
          <c:order val="1"/>
          <c:tx>
            <c:v>Tmax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Лист1!$J$2:$J$20</c:f>
              <c:numCache>
                <c:formatCode>General</c:formatCode>
                <c:ptCount val="19"/>
                <c:pt idx="0">
                  <c:v>12</c:v>
                </c:pt>
                <c:pt idx="1">
                  <c:v>26</c:v>
                </c:pt>
                <c:pt idx="2">
                  <c:v>46</c:v>
                </c:pt>
                <c:pt idx="3">
                  <c:v>72</c:v>
                </c:pt>
                <c:pt idx="4">
                  <c:v>104</c:v>
                </c:pt>
                <c:pt idx="5">
                  <c:v>142</c:v>
                </c:pt>
                <c:pt idx="6">
                  <c:v>186</c:v>
                </c:pt>
                <c:pt idx="7">
                  <c:v>236</c:v>
                </c:pt>
                <c:pt idx="8">
                  <c:v>292</c:v>
                </c:pt>
                <c:pt idx="9">
                  <c:v>354</c:v>
                </c:pt>
                <c:pt idx="10">
                  <c:v>422</c:v>
                </c:pt>
                <c:pt idx="11">
                  <c:v>496</c:v>
                </c:pt>
                <c:pt idx="12">
                  <c:v>576</c:v>
                </c:pt>
                <c:pt idx="13">
                  <c:v>662</c:v>
                </c:pt>
                <c:pt idx="14">
                  <c:v>754</c:v>
                </c:pt>
                <c:pt idx="15">
                  <c:v>852</c:v>
                </c:pt>
                <c:pt idx="16">
                  <c:v>956</c:v>
                </c:pt>
                <c:pt idx="17">
                  <c:v>1066</c:v>
                </c:pt>
                <c:pt idx="18">
                  <c:v>1182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36C-459E-BA8B-1C8C0BC520B8}"/>
            </c:ext>
          </c:extLst>
        </c:ser>
        <c:ser>
          <c:idx val="2"/>
          <c:order val="2"/>
          <c:tx>
            <c:v>Taverage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Лист1!$K$2:$K$20</c:f>
              <c:numCache>
                <c:formatCode>General</c:formatCode>
                <c:ptCount val="19"/>
                <c:pt idx="0">
                  <c:v>10.5</c:v>
                </c:pt>
                <c:pt idx="1">
                  <c:v>21.5</c:v>
                </c:pt>
                <c:pt idx="2">
                  <c:v>37</c:v>
                </c:pt>
                <c:pt idx="3">
                  <c:v>57</c:v>
                </c:pt>
                <c:pt idx="4">
                  <c:v>81.5</c:v>
                </c:pt>
                <c:pt idx="5">
                  <c:v>110.5</c:v>
                </c:pt>
                <c:pt idx="6">
                  <c:v>144</c:v>
                </c:pt>
                <c:pt idx="7">
                  <c:v>182</c:v>
                </c:pt>
                <c:pt idx="8">
                  <c:v>224.5</c:v>
                </c:pt>
                <c:pt idx="9">
                  <c:v>271.5</c:v>
                </c:pt>
                <c:pt idx="10">
                  <c:v>323</c:v>
                </c:pt>
                <c:pt idx="11">
                  <c:v>379</c:v>
                </c:pt>
                <c:pt idx="12">
                  <c:v>439.5</c:v>
                </c:pt>
                <c:pt idx="13">
                  <c:v>504.5</c:v>
                </c:pt>
                <c:pt idx="14">
                  <c:v>574</c:v>
                </c:pt>
                <c:pt idx="15">
                  <c:v>648</c:v>
                </c:pt>
                <c:pt idx="16">
                  <c:v>726.5</c:v>
                </c:pt>
                <c:pt idx="17">
                  <c:v>809.5</c:v>
                </c:pt>
                <c:pt idx="18">
                  <c:v>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36C-459E-BA8B-1C8C0BC520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9646232"/>
        <c:axId val="439648856"/>
      </c:lineChart>
      <c:catAx>
        <c:axId val="4396462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9648856"/>
        <c:crosses val="autoZero"/>
        <c:auto val="1"/>
        <c:lblAlgn val="ctr"/>
        <c:lblOffset val="100"/>
        <c:noMultiLvlLbl val="0"/>
      </c:catAx>
      <c:valAx>
        <c:axId val="439648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T(n)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9646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Невязка</a:t>
            </a:r>
            <a:r>
              <a:rPr lang="ru-RU" baseline="0"/>
              <a:t> между аналитическим вычислением </a:t>
            </a:r>
            <a:r>
              <a:rPr lang="en-US" baseline="0"/>
              <a:t>Taverage </a:t>
            </a:r>
            <a:r>
              <a:rPr lang="ru-RU" baseline="0"/>
              <a:t>и вычислением генерацией массивов, заполненных случаным образом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Taverage Analytic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Лист1!$K$2:$K$20</c:f>
              <c:numCache>
                <c:formatCode>General</c:formatCode>
                <c:ptCount val="19"/>
                <c:pt idx="0">
                  <c:v>10.5</c:v>
                </c:pt>
                <c:pt idx="1">
                  <c:v>21.5</c:v>
                </c:pt>
                <c:pt idx="2">
                  <c:v>37</c:v>
                </c:pt>
                <c:pt idx="3">
                  <c:v>57</c:v>
                </c:pt>
                <c:pt idx="4">
                  <c:v>81.5</c:v>
                </c:pt>
                <c:pt idx="5">
                  <c:v>110.5</c:v>
                </c:pt>
                <c:pt idx="6">
                  <c:v>144</c:v>
                </c:pt>
                <c:pt idx="7">
                  <c:v>182</c:v>
                </c:pt>
                <c:pt idx="8">
                  <c:v>224.5</c:v>
                </c:pt>
                <c:pt idx="9">
                  <c:v>271.5</c:v>
                </c:pt>
                <c:pt idx="10">
                  <c:v>323</c:v>
                </c:pt>
                <c:pt idx="11">
                  <c:v>379</c:v>
                </c:pt>
                <c:pt idx="12">
                  <c:v>439.5</c:v>
                </c:pt>
                <c:pt idx="13">
                  <c:v>504.5</c:v>
                </c:pt>
                <c:pt idx="14">
                  <c:v>574</c:v>
                </c:pt>
                <c:pt idx="15">
                  <c:v>648</c:v>
                </c:pt>
                <c:pt idx="16">
                  <c:v>726.5</c:v>
                </c:pt>
                <c:pt idx="17">
                  <c:v>809.5</c:v>
                </c:pt>
                <c:pt idx="18">
                  <c:v>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9C-42D8-85C7-665C25228713}"/>
            </c:ext>
          </c:extLst>
        </c:ser>
        <c:ser>
          <c:idx val="0"/>
          <c:order val="1"/>
          <c:tx>
            <c:v>Taverage Random Generated Array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Лист1!$D$2:$D$20</c:f>
              <c:numCache>
                <c:formatCode>General</c:formatCode>
                <c:ptCount val="19"/>
                <c:pt idx="0">
                  <c:v>12</c:v>
                </c:pt>
                <c:pt idx="1">
                  <c:v>17</c:v>
                </c:pt>
                <c:pt idx="2">
                  <c:v>37</c:v>
                </c:pt>
                <c:pt idx="3">
                  <c:v>63</c:v>
                </c:pt>
                <c:pt idx="4">
                  <c:v>86</c:v>
                </c:pt>
                <c:pt idx="5">
                  <c:v>124</c:v>
                </c:pt>
                <c:pt idx="6">
                  <c:v>114</c:v>
                </c:pt>
                <c:pt idx="7">
                  <c:v>170</c:v>
                </c:pt>
                <c:pt idx="8">
                  <c:v>214</c:v>
                </c:pt>
                <c:pt idx="9">
                  <c:v>243</c:v>
                </c:pt>
                <c:pt idx="10">
                  <c:v>314</c:v>
                </c:pt>
                <c:pt idx="11">
                  <c:v>370</c:v>
                </c:pt>
                <c:pt idx="12">
                  <c:v>402</c:v>
                </c:pt>
                <c:pt idx="13">
                  <c:v>443</c:v>
                </c:pt>
                <c:pt idx="14">
                  <c:v>601</c:v>
                </c:pt>
                <c:pt idx="15">
                  <c:v>594</c:v>
                </c:pt>
                <c:pt idx="16">
                  <c:v>653</c:v>
                </c:pt>
                <c:pt idx="17">
                  <c:v>769</c:v>
                </c:pt>
                <c:pt idx="18">
                  <c:v>762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29C-42D8-85C7-665C25228713}"/>
            </c:ext>
          </c:extLst>
        </c:ser>
        <c:ser>
          <c:idx val="1"/>
          <c:order val="2"/>
          <c:tx>
            <c:v>Невязка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Лист1!$O$2:$O$20</c:f>
              <c:numCache>
                <c:formatCode>General</c:formatCode>
                <c:ptCount val="19"/>
                <c:pt idx="0">
                  <c:v>1.5</c:v>
                </c:pt>
                <c:pt idx="1">
                  <c:v>4.5</c:v>
                </c:pt>
                <c:pt idx="2">
                  <c:v>0</c:v>
                </c:pt>
                <c:pt idx="3">
                  <c:v>6</c:v>
                </c:pt>
                <c:pt idx="4">
                  <c:v>4.5</c:v>
                </c:pt>
                <c:pt idx="5">
                  <c:v>13.5</c:v>
                </c:pt>
                <c:pt idx="6">
                  <c:v>30</c:v>
                </c:pt>
                <c:pt idx="7">
                  <c:v>12</c:v>
                </c:pt>
                <c:pt idx="8">
                  <c:v>10.5</c:v>
                </c:pt>
                <c:pt idx="9">
                  <c:v>28.5</c:v>
                </c:pt>
                <c:pt idx="10">
                  <c:v>9</c:v>
                </c:pt>
                <c:pt idx="11">
                  <c:v>9</c:v>
                </c:pt>
                <c:pt idx="12">
                  <c:v>37.5</c:v>
                </c:pt>
                <c:pt idx="13">
                  <c:v>61.5</c:v>
                </c:pt>
                <c:pt idx="14">
                  <c:v>27</c:v>
                </c:pt>
                <c:pt idx="15">
                  <c:v>54</c:v>
                </c:pt>
                <c:pt idx="16">
                  <c:v>73.5</c:v>
                </c:pt>
                <c:pt idx="17">
                  <c:v>40.5</c:v>
                </c:pt>
                <c:pt idx="18">
                  <c:v>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29C-42D8-85C7-665C25228713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9646232"/>
        <c:axId val="439648856"/>
      </c:lineChart>
      <c:catAx>
        <c:axId val="4396462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9648856"/>
        <c:crosses val="autoZero"/>
        <c:auto val="1"/>
        <c:lblAlgn val="ctr"/>
        <c:lblOffset val="100"/>
        <c:noMultiLvlLbl val="0"/>
      </c:catAx>
      <c:valAx>
        <c:axId val="439648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T(n)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9646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179070</xdr:rowOff>
    </xdr:from>
    <xdr:to>
      <xdr:col>7</xdr:col>
      <xdr:colOff>0</xdr:colOff>
      <xdr:row>39</xdr:row>
      <xdr:rowOff>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21</xdr:row>
      <xdr:rowOff>0</xdr:rowOff>
    </xdr:from>
    <xdr:to>
      <xdr:col>14</xdr:col>
      <xdr:colOff>0</xdr:colOff>
      <xdr:row>39</xdr:row>
      <xdr:rowOff>2771</xdr:rowOff>
    </xdr:to>
    <xdr:graphicFrame macro="">
      <xdr:nvGraphicFramePr>
        <xdr:cNvPr id="4" name="Диаграмма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</xdr:colOff>
      <xdr:row>21</xdr:row>
      <xdr:rowOff>0</xdr:rowOff>
    </xdr:from>
    <xdr:to>
      <xdr:col>25</xdr:col>
      <xdr:colOff>0</xdr:colOff>
      <xdr:row>39</xdr:row>
      <xdr:rowOff>2771</xdr:rowOff>
    </xdr:to>
    <xdr:graphicFrame macro="">
      <xdr:nvGraphicFramePr>
        <xdr:cNvPr id="5" name="Диаграмма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tabSelected="1" zoomScale="88" workbookViewId="0">
      <selection activeCell="N9" sqref="N9"/>
    </sheetView>
  </sheetViews>
  <sheetFormatPr defaultRowHeight="14.4" x14ac:dyDescent="0.3"/>
  <cols>
    <col min="2" max="4" width="12.21875" customWidth="1"/>
    <col min="8" max="8" width="8.88671875" customWidth="1"/>
    <col min="9" max="11" width="12.33203125" customWidth="1"/>
    <col min="13" max="13" width="10.88671875" customWidth="1"/>
    <col min="15" max="15" width="15.88671875" customWidth="1"/>
  </cols>
  <sheetData>
    <row r="1" spans="1:15" x14ac:dyDescent="0.3">
      <c r="A1" t="s">
        <v>3</v>
      </c>
      <c r="B1" t="s">
        <v>0</v>
      </c>
      <c r="C1" t="s">
        <v>1</v>
      </c>
      <c r="D1" t="s">
        <v>2</v>
      </c>
      <c r="H1" t="s">
        <v>3</v>
      </c>
      <c r="I1" t="s">
        <v>0</v>
      </c>
      <c r="J1" t="s">
        <v>1</v>
      </c>
      <c r="K1" t="s">
        <v>2</v>
      </c>
      <c r="O1" t="s">
        <v>4</v>
      </c>
    </row>
    <row r="2" spans="1:15" x14ac:dyDescent="0.3">
      <c r="A2">
        <v>2</v>
      </c>
      <c r="B2">
        <v>9</v>
      </c>
      <c r="C2">
        <v>12</v>
      </c>
      <c r="D2">
        <v>12</v>
      </c>
      <c r="H2">
        <v>2</v>
      </c>
      <c r="I2">
        <f>2+ (H2-1)*(H2/2)*3 + H2*2</f>
        <v>9</v>
      </c>
      <c r="J2">
        <f>2+ (H2-1)*(H2/2)*6 + H2*2</f>
        <v>12</v>
      </c>
      <c r="K2">
        <f>(I2+J2)/2</f>
        <v>10.5</v>
      </c>
      <c r="O2">
        <f>ABS(D2-K2)</f>
        <v>1.5</v>
      </c>
    </row>
    <row r="3" spans="1:15" x14ac:dyDescent="0.3">
      <c r="A3">
        <v>3</v>
      </c>
      <c r="B3">
        <v>17</v>
      </c>
      <c r="C3">
        <v>26</v>
      </c>
      <c r="D3">
        <v>17</v>
      </c>
      <c r="H3">
        <v>3</v>
      </c>
      <c r="I3">
        <f t="shared" ref="I3:I20" si="0">2+ (H3-1)*(H3/2)*3 + H3*2</f>
        <v>17</v>
      </c>
      <c r="J3">
        <f t="shared" ref="J3:J20" si="1">2+ (H3-1)*(H3/2)*6 + H3*2</f>
        <v>26</v>
      </c>
      <c r="K3">
        <f t="shared" ref="K3:K20" si="2">(I3+J3)/2</f>
        <v>21.5</v>
      </c>
      <c r="O3">
        <f>ABS(D3-K3)</f>
        <v>4.5</v>
      </c>
    </row>
    <row r="4" spans="1:15" x14ac:dyDescent="0.3">
      <c r="A4">
        <v>4</v>
      </c>
      <c r="B4">
        <v>28</v>
      </c>
      <c r="C4">
        <v>46</v>
      </c>
      <c r="D4">
        <v>37</v>
      </c>
      <c r="H4">
        <v>4</v>
      </c>
      <c r="I4">
        <f t="shared" si="0"/>
        <v>28</v>
      </c>
      <c r="J4">
        <f t="shared" si="1"/>
        <v>46</v>
      </c>
      <c r="K4">
        <f t="shared" si="2"/>
        <v>37</v>
      </c>
      <c r="O4">
        <f>ABS(D4-K4)</f>
        <v>0</v>
      </c>
    </row>
    <row r="5" spans="1:15" x14ac:dyDescent="0.3">
      <c r="A5">
        <v>5</v>
      </c>
      <c r="B5">
        <v>42</v>
      </c>
      <c r="C5">
        <v>72</v>
      </c>
      <c r="D5">
        <v>63</v>
      </c>
      <c r="H5">
        <v>5</v>
      </c>
      <c r="I5">
        <f t="shared" si="0"/>
        <v>42</v>
      </c>
      <c r="J5">
        <f t="shared" si="1"/>
        <v>72</v>
      </c>
      <c r="K5">
        <f t="shared" si="2"/>
        <v>57</v>
      </c>
      <c r="O5">
        <f>ABS(D5-K5)</f>
        <v>6</v>
      </c>
    </row>
    <row r="6" spans="1:15" x14ac:dyDescent="0.3">
      <c r="A6">
        <v>6</v>
      </c>
      <c r="B6">
        <v>59</v>
      </c>
      <c r="C6">
        <v>104</v>
      </c>
      <c r="D6">
        <v>86</v>
      </c>
      <c r="H6">
        <v>6</v>
      </c>
      <c r="I6">
        <f t="shared" si="0"/>
        <v>59</v>
      </c>
      <c r="J6">
        <f t="shared" si="1"/>
        <v>104</v>
      </c>
      <c r="K6">
        <f t="shared" si="2"/>
        <v>81.5</v>
      </c>
      <c r="O6">
        <f>ABS(D6-K6)</f>
        <v>4.5</v>
      </c>
    </row>
    <row r="7" spans="1:15" x14ac:dyDescent="0.3">
      <c r="A7">
        <v>7</v>
      </c>
      <c r="B7">
        <v>79</v>
      </c>
      <c r="C7">
        <v>142</v>
      </c>
      <c r="D7">
        <v>124</v>
      </c>
      <c r="H7">
        <v>7</v>
      </c>
      <c r="I7">
        <f t="shared" si="0"/>
        <v>79</v>
      </c>
      <c r="J7">
        <f t="shared" si="1"/>
        <v>142</v>
      </c>
      <c r="K7">
        <f t="shared" si="2"/>
        <v>110.5</v>
      </c>
      <c r="O7">
        <f>ABS(D7-K7)</f>
        <v>13.5</v>
      </c>
    </row>
    <row r="8" spans="1:15" x14ac:dyDescent="0.3">
      <c r="A8">
        <v>8</v>
      </c>
      <c r="B8">
        <v>102</v>
      </c>
      <c r="C8">
        <v>186</v>
      </c>
      <c r="D8">
        <v>114</v>
      </c>
      <c r="H8">
        <v>8</v>
      </c>
      <c r="I8">
        <f t="shared" si="0"/>
        <v>102</v>
      </c>
      <c r="J8">
        <f t="shared" si="1"/>
        <v>186</v>
      </c>
      <c r="K8">
        <f t="shared" si="2"/>
        <v>144</v>
      </c>
      <c r="O8">
        <f>ABS(D8-K8)</f>
        <v>30</v>
      </c>
    </row>
    <row r="9" spans="1:15" x14ac:dyDescent="0.3">
      <c r="A9">
        <v>9</v>
      </c>
      <c r="B9">
        <v>128</v>
      </c>
      <c r="C9">
        <v>236</v>
      </c>
      <c r="D9">
        <v>170</v>
      </c>
      <c r="H9">
        <v>9</v>
      </c>
      <c r="I9">
        <f t="shared" si="0"/>
        <v>128</v>
      </c>
      <c r="J9">
        <f t="shared" si="1"/>
        <v>236</v>
      </c>
      <c r="K9">
        <f t="shared" si="2"/>
        <v>182</v>
      </c>
      <c r="O9">
        <f>ABS(D9-K9)</f>
        <v>12</v>
      </c>
    </row>
    <row r="10" spans="1:15" x14ac:dyDescent="0.3">
      <c r="A10">
        <v>10</v>
      </c>
      <c r="B10">
        <v>157</v>
      </c>
      <c r="C10">
        <v>292</v>
      </c>
      <c r="D10">
        <v>214</v>
      </c>
      <c r="H10">
        <v>10</v>
      </c>
      <c r="I10">
        <f t="shared" si="0"/>
        <v>157</v>
      </c>
      <c r="J10">
        <f t="shared" si="1"/>
        <v>292</v>
      </c>
      <c r="K10">
        <f t="shared" si="2"/>
        <v>224.5</v>
      </c>
      <c r="O10">
        <f>ABS(D10-K10)</f>
        <v>10.5</v>
      </c>
    </row>
    <row r="11" spans="1:15" x14ac:dyDescent="0.3">
      <c r="A11">
        <v>11</v>
      </c>
      <c r="B11">
        <v>189</v>
      </c>
      <c r="C11">
        <v>354</v>
      </c>
      <c r="D11">
        <v>243</v>
      </c>
      <c r="H11">
        <v>11</v>
      </c>
      <c r="I11">
        <f t="shared" si="0"/>
        <v>189</v>
      </c>
      <c r="J11">
        <f t="shared" si="1"/>
        <v>354</v>
      </c>
      <c r="K11">
        <f t="shared" si="2"/>
        <v>271.5</v>
      </c>
      <c r="O11">
        <f>ABS(D11-K11)</f>
        <v>28.5</v>
      </c>
    </row>
    <row r="12" spans="1:15" x14ac:dyDescent="0.3">
      <c r="A12">
        <v>12</v>
      </c>
      <c r="B12">
        <v>224</v>
      </c>
      <c r="C12">
        <v>422</v>
      </c>
      <c r="D12">
        <v>314</v>
      </c>
      <c r="H12">
        <v>12</v>
      </c>
      <c r="I12">
        <f t="shared" si="0"/>
        <v>224</v>
      </c>
      <c r="J12">
        <f t="shared" si="1"/>
        <v>422</v>
      </c>
      <c r="K12">
        <f t="shared" si="2"/>
        <v>323</v>
      </c>
      <c r="O12">
        <f>ABS(D12-K12)</f>
        <v>9</v>
      </c>
    </row>
    <row r="13" spans="1:15" x14ac:dyDescent="0.3">
      <c r="A13">
        <v>13</v>
      </c>
      <c r="B13">
        <v>262</v>
      </c>
      <c r="C13">
        <v>496</v>
      </c>
      <c r="D13">
        <v>370</v>
      </c>
      <c r="H13">
        <v>13</v>
      </c>
      <c r="I13">
        <f t="shared" si="0"/>
        <v>262</v>
      </c>
      <c r="J13">
        <f t="shared" si="1"/>
        <v>496</v>
      </c>
      <c r="K13">
        <f t="shared" si="2"/>
        <v>379</v>
      </c>
      <c r="O13">
        <f>ABS(D13-K13)</f>
        <v>9</v>
      </c>
    </row>
    <row r="14" spans="1:15" x14ac:dyDescent="0.3">
      <c r="A14">
        <v>14</v>
      </c>
      <c r="B14">
        <v>303</v>
      </c>
      <c r="C14">
        <v>576</v>
      </c>
      <c r="D14">
        <v>402</v>
      </c>
      <c r="H14">
        <v>14</v>
      </c>
      <c r="I14">
        <f t="shared" si="0"/>
        <v>303</v>
      </c>
      <c r="J14">
        <f t="shared" si="1"/>
        <v>576</v>
      </c>
      <c r="K14">
        <f t="shared" si="2"/>
        <v>439.5</v>
      </c>
      <c r="O14">
        <f>ABS(D14-K14)</f>
        <v>37.5</v>
      </c>
    </row>
    <row r="15" spans="1:15" x14ac:dyDescent="0.3">
      <c r="A15">
        <v>15</v>
      </c>
      <c r="B15">
        <v>347</v>
      </c>
      <c r="C15">
        <v>662</v>
      </c>
      <c r="D15">
        <v>443</v>
      </c>
      <c r="H15">
        <v>15</v>
      </c>
      <c r="I15">
        <f t="shared" si="0"/>
        <v>347</v>
      </c>
      <c r="J15">
        <f t="shared" si="1"/>
        <v>662</v>
      </c>
      <c r="K15">
        <f t="shared" si="2"/>
        <v>504.5</v>
      </c>
      <c r="O15">
        <f>ABS(D15-K15)</f>
        <v>61.5</v>
      </c>
    </row>
    <row r="16" spans="1:15" x14ac:dyDescent="0.3">
      <c r="A16">
        <v>16</v>
      </c>
      <c r="B16">
        <v>394</v>
      </c>
      <c r="C16">
        <v>754</v>
      </c>
      <c r="D16">
        <v>601</v>
      </c>
      <c r="H16">
        <v>16</v>
      </c>
      <c r="I16">
        <f t="shared" si="0"/>
        <v>394</v>
      </c>
      <c r="J16">
        <f t="shared" si="1"/>
        <v>754</v>
      </c>
      <c r="K16">
        <f t="shared" si="2"/>
        <v>574</v>
      </c>
      <c r="O16">
        <f>ABS(D16-K16)</f>
        <v>27</v>
      </c>
    </row>
    <row r="17" spans="1:15" x14ac:dyDescent="0.3">
      <c r="A17">
        <v>17</v>
      </c>
      <c r="B17">
        <v>444</v>
      </c>
      <c r="C17">
        <v>852</v>
      </c>
      <c r="D17">
        <v>594</v>
      </c>
      <c r="H17">
        <v>17</v>
      </c>
      <c r="I17">
        <f t="shared" si="0"/>
        <v>444</v>
      </c>
      <c r="J17">
        <f t="shared" si="1"/>
        <v>852</v>
      </c>
      <c r="K17">
        <f t="shared" si="2"/>
        <v>648</v>
      </c>
      <c r="O17">
        <f>ABS(D17-K17)</f>
        <v>54</v>
      </c>
    </row>
    <row r="18" spans="1:15" x14ac:dyDescent="0.3">
      <c r="A18">
        <v>18</v>
      </c>
      <c r="B18">
        <v>497</v>
      </c>
      <c r="C18">
        <v>956</v>
      </c>
      <c r="D18">
        <v>653</v>
      </c>
      <c r="H18">
        <v>18</v>
      </c>
      <c r="I18">
        <f t="shared" si="0"/>
        <v>497</v>
      </c>
      <c r="J18">
        <f t="shared" si="1"/>
        <v>956</v>
      </c>
      <c r="K18">
        <f t="shared" si="2"/>
        <v>726.5</v>
      </c>
      <c r="O18">
        <f>ABS(D18-K18)</f>
        <v>73.5</v>
      </c>
    </row>
    <row r="19" spans="1:15" x14ac:dyDescent="0.3">
      <c r="A19">
        <v>19</v>
      </c>
      <c r="B19">
        <v>553</v>
      </c>
      <c r="C19">
        <v>1066</v>
      </c>
      <c r="D19">
        <v>769</v>
      </c>
      <c r="H19">
        <v>19</v>
      </c>
      <c r="I19">
        <f t="shared" si="0"/>
        <v>553</v>
      </c>
      <c r="J19">
        <f t="shared" si="1"/>
        <v>1066</v>
      </c>
      <c r="K19">
        <f t="shared" si="2"/>
        <v>809.5</v>
      </c>
      <c r="O19">
        <f>ABS(D19-K19)</f>
        <v>40.5</v>
      </c>
    </row>
    <row r="20" spans="1:15" x14ac:dyDescent="0.3">
      <c r="A20">
        <v>20</v>
      </c>
      <c r="B20">
        <v>612</v>
      </c>
      <c r="C20">
        <v>1182</v>
      </c>
      <c r="D20">
        <v>762</v>
      </c>
      <c r="H20">
        <v>20</v>
      </c>
      <c r="I20">
        <f t="shared" si="0"/>
        <v>612</v>
      </c>
      <c r="J20">
        <f t="shared" si="1"/>
        <v>1182</v>
      </c>
      <c r="K20">
        <f t="shared" si="2"/>
        <v>897</v>
      </c>
      <c r="O20">
        <f>ABS(D20-K20)</f>
        <v>135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</dc:creator>
  <cp:lastModifiedBy>Vladimir</cp:lastModifiedBy>
  <dcterms:created xsi:type="dcterms:W3CDTF">2020-09-02T17:07:47Z</dcterms:created>
  <dcterms:modified xsi:type="dcterms:W3CDTF">2020-09-03T07:03:25Z</dcterms:modified>
</cp:coreProperties>
</file>