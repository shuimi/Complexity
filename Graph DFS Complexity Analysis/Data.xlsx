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ladimir\YandexDisk\Учёба\Алгоритмы и анализ сложности\Graph DFS Complexity Analysis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" i="1"/>
</calcChain>
</file>

<file path=xl/sharedStrings.xml><?xml version="1.0" encoding="utf-8"?>
<sst xmlns="http://schemas.openxmlformats.org/spreadsheetml/2006/main" count="8" uniqueCount="8">
  <si>
    <t>n</t>
  </si>
  <si>
    <t>Taverage1(n)</t>
  </si>
  <si>
    <t>Taverage2(n)</t>
  </si>
  <si>
    <t>Taverage3(n)</t>
  </si>
  <si>
    <t>Taverage4(n)</t>
  </si>
  <si>
    <t>Tmax(n)</t>
  </si>
  <si>
    <t>Tmin(n)</t>
  </si>
  <si>
    <t>Taverage-approximation(n)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</si>
</sst>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Taverage1(n)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Лист1!$A$2:$A$19</c:f>
              <c:numCache>
                <c:formatCode>General</c:formatCode>
                <c:ptCount val="1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</c:numCache>
            </c:numRef>
          </c:cat>
          <c:val>
            <c:numRef>
              <c:f>Лист1!$B$2:$B$19</c:f>
              <c:numCache>
                <c:formatCode>General</c:formatCode>
                <c:ptCount val="18"/>
                <c:pt idx="0">
                  <c:v>12</c:v>
                </c:pt>
                <c:pt idx="1">
                  <c:v>26</c:v>
                </c:pt>
                <c:pt idx="2">
                  <c:v>35</c:v>
                </c:pt>
                <c:pt idx="3">
                  <c:v>56</c:v>
                </c:pt>
                <c:pt idx="4">
                  <c:v>86</c:v>
                </c:pt>
                <c:pt idx="5">
                  <c:v>109</c:v>
                </c:pt>
                <c:pt idx="6">
                  <c:v>143</c:v>
                </c:pt>
                <c:pt idx="7">
                  <c:v>120</c:v>
                </c:pt>
                <c:pt idx="8">
                  <c:v>235</c:v>
                </c:pt>
                <c:pt idx="9">
                  <c:v>281</c:v>
                </c:pt>
                <c:pt idx="10">
                  <c:v>299</c:v>
                </c:pt>
                <c:pt idx="11">
                  <c:v>331</c:v>
                </c:pt>
                <c:pt idx="12">
                  <c:v>402</c:v>
                </c:pt>
                <c:pt idx="13">
                  <c:v>477</c:v>
                </c:pt>
                <c:pt idx="14">
                  <c:v>499</c:v>
                </c:pt>
                <c:pt idx="15">
                  <c:v>426</c:v>
                </c:pt>
                <c:pt idx="16">
                  <c:v>682</c:v>
                </c:pt>
                <c:pt idx="17">
                  <c:v>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C0-4CC9-8D1B-AFE9C0093FF3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Taverage2(n)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318032689095682E-2"/>
                  <c:y val="0.204828548680549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8.9447327606776428E-2"/>
                  <c:y val="3.842851052394432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val>
            <c:numRef>
              <c:f>Лист1!$C$2:$C$19</c:f>
              <c:numCache>
                <c:formatCode>General</c:formatCode>
                <c:ptCount val="18"/>
                <c:pt idx="0">
                  <c:v>13</c:v>
                </c:pt>
                <c:pt idx="1">
                  <c:v>25</c:v>
                </c:pt>
                <c:pt idx="2">
                  <c:v>43</c:v>
                </c:pt>
                <c:pt idx="3">
                  <c:v>52</c:v>
                </c:pt>
                <c:pt idx="4">
                  <c:v>78</c:v>
                </c:pt>
                <c:pt idx="5">
                  <c:v>91</c:v>
                </c:pt>
                <c:pt idx="6">
                  <c:v>154</c:v>
                </c:pt>
                <c:pt idx="7">
                  <c:v>180</c:v>
                </c:pt>
                <c:pt idx="8">
                  <c:v>234</c:v>
                </c:pt>
                <c:pt idx="9">
                  <c:v>223</c:v>
                </c:pt>
                <c:pt idx="10">
                  <c:v>275</c:v>
                </c:pt>
                <c:pt idx="11">
                  <c:v>375</c:v>
                </c:pt>
                <c:pt idx="12">
                  <c:v>418</c:v>
                </c:pt>
                <c:pt idx="13">
                  <c:v>438</c:v>
                </c:pt>
                <c:pt idx="14">
                  <c:v>504</c:v>
                </c:pt>
                <c:pt idx="15">
                  <c:v>585</c:v>
                </c:pt>
                <c:pt idx="16">
                  <c:v>636</c:v>
                </c:pt>
                <c:pt idx="17">
                  <c:v>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C0-4CC9-8D1B-AFE9C0093FF3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Taverage3(n)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Лист1!$D$2:$D$19</c:f>
              <c:numCache>
                <c:formatCode>General</c:formatCode>
                <c:ptCount val="18"/>
                <c:pt idx="0">
                  <c:v>12</c:v>
                </c:pt>
                <c:pt idx="1">
                  <c:v>25</c:v>
                </c:pt>
                <c:pt idx="2">
                  <c:v>43</c:v>
                </c:pt>
                <c:pt idx="3">
                  <c:v>60</c:v>
                </c:pt>
                <c:pt idx="4">
                  <c:v>91</c:v>
                </c:pt>
                <c:pt idx="5">
                  <c:v>88</c:v>
                </c:pt>
                <c:pt idx="6">
                  <c:v>155</c:v>
                </c:pt>
                <c:pt idx="7">
                  <c:v>180</c:v>
                </c:pt>
                <c:pt idx="8">
                  <c:v>193</c:v>
                </c:pt>
                <c:pt idx="9">
                  <c:v>280</c:v>
                </c:pt>
                <c:pt idx="10">
                  <c:v>325</c:v>
                </c:pt>
                <c:pt idx="11">
                  <c:v>278</c:v>
                </c:pt>
                <c:pt idx="12">
                  <c:v>415</c:v>
                </c:pt>
                <c:pt idx="13">
                  <c:v>496</c:v>
                </c:pt>
                <c:pt idx="14">
                  <c:v>516</c:v>
                </c:pt>
                <c:pt idx="15">
                  <c:v>638</c:v>
                </c:pt>
                <c:pt idx="16">
                  <c:v>688</c:v>
                </c:pt>
                <c:pt idx="17">
                  <c:v>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C0-4CC9-8D1B-AFE9C0093FF3}"/>
            </c:ext>
          </c:extLst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Taverage4(n)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Лист1!$E$2:$E$19</c:f>
              <c:numCache>
                <c:formatCode>General</c:formatCode>
                <c:ptCount val="18"/>
                <c:pt idx="0">
                  <c:v>12</c:v>
                </c:pt>
                <c:pt idx="1">
                  <c:v>25</c:v>
                </c:pt>
                <c:pt idx="2">
                  <c:v>43</c:v>
                </c:pt>
                <c:pt idx="3">
                  <c:v>65</c:v>
                </c:pt>
                <c:pt idx="4">
                  <c:v>62</c:v>
                </c:pt>
                <c:pt idx="5">
                  <c:v>107</c:v>
                </c:pt>
                <c:pt idx="6">
                  <c:v>88</c:v>
                </c:pt>
                <c:pt idx="7">
                  <c:v>161</c:v>
                </c:pt>
                <c:pt idx="8">
                  <c:v>202</c:v>
                </c:pt>
                <c:pt idx="9">
                  <c:v>235</c:v>
                </c:pt>
                <c:pt idx="10">
                  <c:v>275</c:v>
                </c:pt>
                <c:pt idx="11">
                  <c:v>373</c:v>
                </c:pt>
                <c:pt idx="12">
                  <c:v>372</c:v>
                </c:pt>
                <c:pt idx="13">
                  <c:v>382</c:v>
                </c:pt>
                <c:pt idx="14">
                  <c:v>561</c:v>
                </c:pt>
                <c:pt idx="15">
                  <c:v>554</c:v>
                </c:pt>
                <c:pt idx="16">
                  <c:v>665</c:v>
                </c:pt>
                <c:pt idx="17">
                  <c:v>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C0-4CC9-8D1B-AFE9C0093FF3}"/>
            </c:ext>
          </c:extLst>
        </c:ser>
        <c:ser>
          <c:idx val="4"/>
          <c:order val="4"/>
          <c:tx>
            <c:strRef>
              <c:f>Лист1!$Q$1</c:f>
              <c:strCache>
                <c:ptCount val="1"/>
                <c:pt idx="0">
                  <c:v>Tmax(n)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val>
            <c:numRef>
              <c:f>Лист1!$Q$2:$Q$19</c:f>
              <c:numCache>
                <c:formatCode>General</c:formatCode>
                <c:ptCount val="18"/>
                <c:pt idx="0">
                  <c:v>20</c:v>
                </c:pt>
                <c:pt idx="1">
                  <c:v>38</c:v>
                </c:pt>
                <c:pt idx="2">
                  <c:v>60</c:v>
                </c:pt>
                <c:pt idx="3">
                  <c:v>86</c:v>
                </c:pt>
                <c:pt idx="4">
                  <c:v>116</c:v>
                </c:pt>
                <c:pt idx="5">
                  <c:v>150</c:v>
                </c:pt>
                <c:pt idx="6">
                  <c:v>188</c:v>
                </c:pt>
                <c:pt idx="7">
                  <c:v>230</c:v>
                </c:pt>
                <c:pt idx="8">
                  <c:v>276</c:v>
                </c:pt>
                <c:pt idx="9">
                  <c:v>326</c:v>
                </c:pt>
                <c:pt idx="10">
                  <c:v>380</c:v>
                </c:pt>
                <c:pt idx="11">
                  <c:v>438</c:v>
                </c:pt>
                <c:pt idx="12">
                  <c:v>500</c:v>
                </c:pt>
                <c:pt idx="13">
                  <c:v>566</c:v>
                </c:pt>
                <c:pt idx="14">
                  <c:v>636</c:v>
                </c:pt>
                <c:pt idx="15">
                  <c:v>710</c:v>
                </c:pt>
                <c:pt idx="16">
                  <c:v>788</c:v>
                </c:pt>
                <c:pt idx="17">
                  <c:v>870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C0-4CC9-8D1B-AFE9C0093FF3}"/>
            </c:ext>
          </c:extLst>
        </c:ser>
        <c:ser>
          <c:idx val="5"/>
          <c:order val="5"/>
          <c:tx>
            <c:strRef>
              <c:f>Лист1!$R$1</c:f>
              <c:strCache>
                <c:ptCount val="1"/>
                <c:pt idx="0">
                  <c:v>Tmin(n)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Лист1!$R$2:$R$19</c:f>
              <c:numCache>
                <c:formatCode>General</c:formatCode>
                <c:ptCount val="18"/>
                <c:pt idx="0">
                  <c:v>20</c:v>
                </c:pt>
                <c:pt idx="1">
                  <c:v>24</c:v>
                </c:pt>
                <c:pt idx="2">
                  <c:v>28</c:v>
                </c:pt>
                <c:pt idx="3">
                  <c:v>32</c:v>
                </c:pt>
                <c:pt idx="4">
                  <c:v>36</c:v>
                </c:pt>
                <c:pt idx="5">
                  <c:v>40</c:v>
                </c:pt>
                <c:pt idx="6">
                  <c:v>44</c:v>
                </c:pt>
                <c:pt idx="7">
                  <c:v>48</c:v>
                </c:pt>
                <c:pt idx="8">
                  <c:v>52</c:v>
                </c:pt>
                <c:pt idx="9">
                  <c:v>56</c:v>
                </c:pt>
                <c:pt idx="10">
                  <c:v>60</c:v>
                </c:pt>
                <c:pt idx="11">
                  <c:v>64</c:v>
                </c:pt>
                <c:pt idx="12">
                  <c:v>68</c:v>
                </c:pt>
                <c:pt idx="13">
                  <c:v>72</c:v>
                </c:pt>
                <c:pt idx="14">
                  <c:v>76</c:v>
                </c:pt>
                <c:pt idx="15">
                  <c:v>80</c:v>
                </c:pt>
                <c:pt idx="16">
                  <c:v>84</c:v>
                </c:pt>
                <c:pt idx="17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C0-4CC9-8D1B-AFE9C0093FF3}"/>
            </c:ext>
          </c:extLst>
        </c:ser>
        <c:ser>
          <c:idx val="6"/>
          <c:order val="6"/>
          <c:tx>
            <c:strRef>
              <c:f>Лист1!$S$1</c:f>
              <c:strCache>
                <c:ptCount val="1"/>
                <c:pt idx="0">
                  <c:v>Taverage-approximation(n)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Лист1!$S$2:$S$19</c:f>
              <c:numCache>
                <c:formatCode>General</c:formatCode>
                <c:ptCount val="18"/>
                <c:pt idx="0">
                  <c:v>12</c:v>
                </c:pt>
                <c:pt idx="1">
                  <c:v>33.418300653595004</c:v>
                </c:pt>
                <c:pt idx="2">
                  <c:v>56.681372549019997</c:v>
                </c:pt>
                <c:pt idx="3">
                  <c:v>81.789215686275</c:v>
                </c:pt>
                <c:pt idx="4">
                  <c:v>108.74183006536001</c:v>
                </c:pt>
                <c:pt idx="5">
                  <c:v>137.53921568627501</c:v>
                </c:pt>
                <c:pt idx="6">
                  <c:v>168.18137254902001</c:v>
                </c:pt>
                <c:pt idx="7">
                  <c:v>200.66830065359503</c:v>
                </c:pt>
                <c:pt idx="8">
                  <c:v>235</c:v>
                </c:pt>
                <c:pt idx="9">
                  <c:v>271.17647058823502</c:v>
                </c:pt>
                <c:pt idx="10">
                  <c:v>309.1977124183</c:v>
                </c:pt>
                <c:pt idx="11">
                  <c:v>349.063725490195</c:v>
                </c:pt>
                <c:pt idx="12">
                  <c:v>390.77450980392001</c:v>
                </c:pt>
                <c:pt idx="13">
                  <c:v>434.33006535947499</c:v>
                </c:pt>
                <c:pt idx="14">
                  <c:v>479.73039215685998</c:v>
                </c:pt>
                <c:pt idx="15">
                  <c:v>526.97549019607504</c:v>
                </c:pt>
                <c:pt idx="16">
                  <c:v>576.06535947711996</c:v>
                </c:pt>
                <c:pt idx="17">
                  <c:v>626.999999999995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E-4BCD-AE74-2F79410B5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028576"/>
        <c:axId val="439031200"/>
      </c:lineChart>
      <c:catAx>
        <c:axId val="43902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9031200"/>
        <c:crosses val="autoZero"/>
        <c:auto val="1"/>
        <c:lblAlgn val="ctr"/>
        <c:lblOffset val="100"/>
        <c:noMultiLvlLbl val="0"/>
      </c:catAx>
      <c:valAx>
        <c:axId val="43903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902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Taverage1(n)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Лист1!$A$2:$A$19</c:f>
              <c:numCache>
                <c:formatCode>General</c:formatCode>
                <c:ptCount val="1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</c:numCache>
            </c:numRef>
          </c:cat>
          <c:val>
            <c:numRef>
              <c:f>Лист1!$B$2:$B$19</c:f>
              <c:numCache>
                <c:formatCode>General</c:formatCode>
                <c:ptCount val="18"/>
                <c:pt idx="0">
                  <c:v>12</c:v>
                </c:pt>
                <c:pt idx="1">
                  <c:v>26</c:v>
                </c:pt>
                <c:pt idx="2">
                  <c:v>35</c:v>
                </c:pt>
                <c:pt idx="3">
                  <c:v>56</c:v>
                </c:pt>
                <c:pt idx="4">
                  <c:v>86</c:v>
                </c:pt>
                <c:pt idx="5">
                  <c:v>109</c:v>
                </c:pt>
                <c:pt idx="6">
                  <c:v>143</c:v>
                </c:pt>
                <c:pt idx="7">
                  <c:v>120</c:v>
                </c:pt>
                <c:pt idx="8">
                  <c:v>235</c:v>
                </c:pt>
                <c:pt idx="9">
                  <c:v>281</c:v>
                </c:pt>
                <c:pt idx="10">
                  <c:v>299</c:v>
                </c:pt>
                <c:pt idx="11">
                  <c:v>331</c:v>
                </c:pt>
                <c:pt idx="12">
                  <c:v>402</c:v>
                </c:pt>
                <c:pt idx="13">
                  <c:v>477</c:v>
                </c:pt>
                <c:pt idx="14">
                  <c:v>499</c:v>
                </c:pt>
                <c:pt idx="15">
                  <c:v>426</c:v>
                </c:pt>
                <c:pt idx="16">
                  <c:v>682</c:v>
                </c:pt>
                <c:pt idx="17">
                  <c:v>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A7-4E33-AFB9-88EF963B920A}"/>
            </c:ext>
          </c:extLst>
        </c:ser>
        <c:ser>
          <c:idx val="4"/>
          <c:order val="4"/>
          <c:tx>
            <c:strRef>
              <c:f>Лист1!$Q$1</c:f>
              <c:strCache>
                <c:ptCount val="1"/>
                <c:pt idx="0">
                  <c:v>Tmax(n)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val>
            <c:numRef>
              <c:f>Лист1!$Q$2:$Q$19</c:f>
              <c:numCache>
                <c:formatCode>General</c:formatCode>
                <c:ptCount val="18"/>
                <c:pt idx="0">
                  <c:v>20</c:v>
                </c:pt>
                <c:pt idx="1">
                  <c:v>38</c:v>
                </c:pt>
                <c:pt idx="2">
                  <c:v>60</c:v>
                </c:pt>
                <c:pt idx="3">
                  <c:v>86</c:v>
                </c:pt>
                <c:pt idx="4">
                  <c:v>116</c:v>
                </c:pt>
                <c:pt idx="5">
                  <c:v>150</c:v>
                </c:pt>
                <c:pt idx="6">
                  <c:v>188</c:v>
                </c:pt>
                <c:pt idx="7">
                  <c:v>230</c:v>
                </c:pt>
                <c:pt idx="8">
                  <c:v>276</c:v>
                </c:pt>
                <c:pt idx="9">
                  <c:v>326</c:v>
                </c:pt>
                <c:pt idx="10">
                  <c:v>380</c:v>
                </c:pt>
                <c:pt idx="11">
                  <c:v>438</c:v>
                </c:pt>
                <c:pt idx="12">
                  <c:v>500</c:v>
                </c:pt>
                <c:pt idx="13">
                  <c:v>566</c:v>
                </c:pt>
                <c:pt idx="14">
                  <c:v>636</c:v>
                </c:pt>
                <c:pt idx="15">
                  <c:v>710</c:v>
                </c:pt>
                <c:pt idx="16">
                  <c:v>788</c:v>
                </c:pt>
                <c:pt idx="17">
                  <c:v>870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A7-4E33-AFB9-88EF963B920A}"/>
            </c:ext>
          </c:extLst>
        </c:ser>
        <c:ser>
          <c:idx val="5"/>
          <c:order val="5"/>
          <c:tx>
            <c:strRef>
              <c:f>Лист1!$R$1</c:f>
              <c:strCache>
                <c:ptCount val="1"/>
                <c:pt idx="0">
                  <c:v>Tmin(n)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Лист1!$R$2:$R$19</c:f>
              <c:numCache>
                <c:formatCode>General</c:formatCode>
                <c:ptCount val="18"/>
                <c:pt idx="0">
                  <c:v>20</c:v>
                </c:pt>
                <c:pt idx="1">
                  <c:v>24</c:v>
                </c:pt>
                <c:pt idx="2">
                  <c:v>28</c:v>
                </c:pt>
                <c:pt idx="3">
                  <c:v>32</c:v>
                </c:pt>
                <c:pt idx="4">
                  <c:v>36</c:v>
                </c:pt>
                <c:pt idx="5">
                  <c:v>40</c:v>
                </c:pt>
                <c:pt idx="6">
                  <c:v>44</c:v>
                </c:pt>
                <c:pt idx="7">
                  <c:v>48</c:v>
                </c:pt>
                <c:pt idx="8">
                  <c:v>52</c:v>
                </c:pt>
                <c:pt idx="9">
                  <c:v>56</c:v>
                </c:pt>
                <c:pt idx="10">
                  <c:v>60</c:v>
                </c:pt>
                <c:pt idx="11">
                  <c:v>64</c:v>
                </c:pt>
                <c:pt idx="12">
                  <c:v>68</c:v>
                </c:pt>
                <c:pt idx="13">
                  <c:v>72</c:v>
                </c:pt>
                <c:pt idx="14">
                  <c:v>76</c:v>
                </c:pt>
                <c:pt idx="15">
                  <c:v>80</c:v>
                </c:pt>
                <c:pt idx="16">
                  <c:v>84</c:v>
                </c:pt>
                <c:pt idx="17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2A7-4E33-AFB9-88EF963B920A}"/>
            </c:ext>
          </c:extLst>
        </c:ser>
        <c:ser>
          <c:idx val="6"/>
          <c:order val="6"/>
          <c:tx>
            <c:strRef>
              <c:f>Лист1!$S$1</c:f>
              <c:strCache>
                <c:ptCount val="1"/>
                <c:pt idx="0">
                  <c:v>Taverage-approximation(n)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Лист1!$S$2:$S$19</c:f>
              <c:numCache>
                <c:formatCode>General</c:formatCode>
                <c:ptCount val="18"/>
                <c:pt idx="0">
                  <c:v>12</c:v>
                </c:pt>
                <c:pt idx="1">
                  <c:v>33.418300653595004</c:v>
                </c:pt>
                <c:pt idx="2">
                  <c:v>56.681372549019997</c:v>
                </c:pt>
                <c:pt idx="3">
                  <c:v>81.789215686275</c:v>
                </c:pt>
                <c:pt idx="4">
                  <c:v>108.74183006536001</c:v>
                </c:pt>
                <c:pt idx="5">
                  <c:v>137.53921568627501</c:v>
                </c:pt>
                <c:pt idx="6">
                  <c:v>168.18137254902001</c:v>
                </c:pt>
                <c:pt idx="7">
                  <c:v>200.66830065359503</c:v>
                </c:pt>
                <c:pt idx="8">
                  <c:v>235</c:v>
                </c:pt>
                <c:pt idx="9">
                  <c:v>271.17647058823502</c:v>
                </c:pt>
                <c:pt idx="10">
                  <c:v>309.1977124183</c:v>
                </c:pt>
                <c:pt idx="11">
                  <c:v>349.063725490195</c:v>
                </c:pt>
                <c:pt idx="12">
                  <c:v>390.77450980392001</c:v>
                </c:pt>
                <c:pt idx="13">
                  <c:v>434.33006535947499</c:v>
                </c:pt>
                <c:pt idx="14">
                  <c:v>479.73039215685998</c:v>
                </c:pt>
                <c:pt idx="15">
                  <c:v>526.97549019607504</c:v>
                </c:pt>
                <c:pt idx="16">
                  <c:v>576.06535947711996</c:v>
                </c:pt>
                <c:pt idx="17">
                  <c:v>626.999999999995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A7-4E33-AFB9-88EF963B9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028576"/>
        <c:axId val="43903120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Лист1!$C$1</c15:sqref>
                        </c15:formulaRef>
                      </c:ext>
                    </c:extLst>
                    <c:strCache>
                      <c:ptCount val="1"/>
                      <c:pt idx="0">
                        <c:v>Taverage2(n)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ot"/>
                    </a:ln>
                    <a:effectLst/>
                  </c:spPr>
                  <c:trendlineType val="power"/>
                  <c:dispRSqr val="1"/>
                  <c:dispEq val="1"/>
                  <c:trendlineLbl>
                    <c:layout>
                      <c:manualLayout>
                        <c:x val="1.9318032689095682E-2"/>
                        <c:y val="0.20482854868054987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ru-RU"/>
                      </a:p>
                    </c:txPr>
                  </c:trendlineLbl>
                </c:trendline>
                <c:trendline>
                  <c:spPr>
                    <a:ln w="19050" cap="rnd">
                      <a:solidFill>
                        <a:schemeClr val="accent2"/>
                      </a:solidFill>
                      <a:prstDash val="sysDot"/>
                    </a:ln>
                    <a:effectLst/>
                  </c:spPr>
                  <c:trendlineType val="poly"/>
                  <c:order val="2"/>
                  <c:dispRSqr val="1"/>
                  <c:dispEq val="1"/>
                  <c:trendlineLbl>
                    <c:layout>
                      <c:manualLayout>
                        <c:x val="-8.9447327606776428E-2"/>
                        <c:y val="3.8428510523944321E-3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ru-RU"/>
                      </a:p>
                    </c:txPr>
                  </c:trendlineLbl>
                </c:trendline>
                <c:val>
                  <c:numRef>
                    <c:extLst>
                      <c:ext uri="{02D57815-91ED-43cb-92C2-25804820EDAC}">
                        <c15:formulaRef>
                          <c15:sqref>Лист1!$C$2:$C$19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13</c:v>
                      </c:pt>
                      <c:pt idx="1">
                        <c:v>25</c:v>
                      </c:pt>
                      <c:pt idx="2">
                        <c:v>43</c:v>
                      </c:pt>
                      <c:pt idx="3">
                        <c:v>52</c:v>
                      </c:pt>
                      <c:pt idx="4">
                        <c:v>78</c:v>
                      </c:pt>
                      <c:pt idx="5">
                        <c:v>91</c:v>
                      </c:pt>
                      <c:pt idx="6">
                        <c:v>154</c:v>
                      </c:pt>
                      <c:pt idx="7">
                        <c:v>180</c:v>
                      </c:pt>
                      <c:pt idx="8">
                        <c:v>234</c:v>
                      </c:pt>
                      <c:pt idx="9">
                        <c:v>223</c:v>
                      </c:pt>
                      <c:pt idx="10">
                        <c:v>275</c:v>
                      </c:pt>
                      <c:pt idx="11">
                        <c:v>375</c:v>
                      </c:pt>
                      <c:pt idx="12">
                        <c:v>418</c:v>
                      </c:pt>
                      <c:pt idx="13">
                        <c:v>438</c:v>
                      </c:pt>
                      <c:pt idx="14">
                        <c:v>504</c:v>
                      </c:pt>
                      <c:pt idx="15">
                        <c:v>585</c:v>
                      </c:pt>
                      <c:pt idx="16">
                        <c:v>636</c:v>
                      </c:pt>
                      <c:pt idx="17">
                        <c:v>702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2A7-4E33-AFB9-88EF963B920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Лист1!$D$1</c15:sqref>
                        </c15:formulaRef>
                      </c:ext>
                    </c:extLst>
                    <c:strCache>
                      <c:ptCount val="1"/>
                      <c:pt idx="0">
                        <c:v>Taverage3(n)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Лист1!$D$2:$D$19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12</c:v>
                      </c:pt>
                      <c:pt idx="1">
                        <c:v>25</c:v>
                      </c:pt>
                      <c:pt idx="2">
                        <c:v>43</c:v>
                      </c:pt>
                      <c:pt idx="3">
                        <c:v>60</c:v>
                      </c:pt>
                      <c:pt idx="4">
                        <c:v>91</c:v>
                      </c:pt>
                      <c:pt idx="5">
                        <c:v>88</c:v>
                      </c:pt>
                      <c:pt idx="6">
                        <c:v>155</c:v>
                      </c:pt>
                      <c:pt idx="7">
                        <c:v>180</c:v>
                      </c:pt>
                      <c:pt idx="8">
                        <c:v>193</c:v>
                      </c:pt>
                      <c:pt idx="9">
                        <c:v>280</c:v>
                      </c:pt>
                      <c:pt idx="10">
                        <c:v>325</c:v>
                      </c:pt>
                      <c:pt idx="11">
                        <c:v>278</c:v>
                      </c:pt>
                      <c:pt idx="12">
                        <c:v>415</c:v>
                      </c:pt>
                      <c:pt idx="13">
                        <c:v>496</c:v>
                      </c:pt>
                      <c:pt idx="14">
                        <c:v>516</c:v>
                      </c:pt>
                      <c:pt idx="15">
                        <c:v>638</c:v>
                      </c:pt>
                      <c:pt idx="16">
                        <c:v>688</c:v>
                      </c:pt>
                      <c:pt idx="17">
                        <c:v>789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D2A7-4E33-AFB9-88EF963B920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Лист1!$E$1</c15:sqref>
                        </c15:formulaRef>
                      </c:ext>
                    </c:extLst>
                    <c:strCache>
                      <c:ptCount val="1"/>
                      <c:pt idx="0">
                        <c:v>Taverage4(n)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Лист1!$E$2:$E$19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12</c:v>
                      </c:pt>
                      <c:pt idx="1">
                        <c:v>25</c:v>
                      </c:pt>
                      <c:pt idx="2">
                        <c:v>43</c:v>
                      </c:pt>
                      <c:pt idx="3">
                        <c:v>65</c:v>
                      </c:pt>
                      <c:pt idx="4">
                        <c:v>62</c:v>
                      </c:pt>
                      <c:pt idx="5">
                        <c:v>107</c:v>
                      </c:pt>
                      <c:pt idx="6">
                        <c:v>88</c:v>
                      </c:pt>
                      <c:pt idx="7">
                        <c:v>161</c:v>
                      </c:pt>
                      <c:pt idx="8">
                        <c:v>202</c:v>
                      </c:pt>
                      <c:pt idx="9">
                        <c:v>235</c:v>
                      </c:pt>
                      <c:pt idx="10">
                        <c:v>275</c:v>
                      </c:pt>
                      <c:pt idx="11">
                        <c:v>373</c:v>
                      </c:pt>
                      <c:pt idx="12">
                        <c:v>372</c:v>
                      </c:pt>
                      <c:pt idx="13">
                        <c:v>382</c:v>
                      </c:pt>
                      <c:pt idx="14">
                        <c:v>561</c:v>
                      </c:pt>
                      <c:pt idx="15">
                        <c:v>554</c:v>
                      </c:pt>
                      <c:pt idx="16">
                        <c:v>665</c:v>
                      </c:pt>
                      <c:pt idx="17">
                        <c:v>646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2A7-4E33-AFB9-88EF963B920A}"/>
                  </c:ext>
                </c:extLst>
              </c15:ser>
            </c15:filteredLineSeries>
          </c:ext>
        </c:extLst>
      </c:lineChart>
      <c:catAx>
        <c:axId val="43902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9031200"/>
        <c:crosses val="autoZero"/>
        <c:auto val="1"/>
        <c:lblAlgn val="ctr"/>
        <c:lblOffset val="100"/>
        <c:noMultiLvlLbl val="0"/>
      </c:catAx>
      <c:valAx>
        <c:axId val="43903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902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12489</xdr:colOff>
      <xdr:row>19</xdr:row>
      <xdr:rowOff>4185</xdr:rowOff>
    </xdr:from>
    <xdr:to>
      <xdr:col>12</xdr:col>
      <xdr:colOff>611108</xdr:colOff>
      <xdr:row>47</xdr:row>
      <xdr:rowOff>7545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</xdr:colOff>
      <xdr:row>0</xdr:row>
      <xdr:rowOff>1</xdr:rowOff>
    </xdr:from>
    <xdr:to>
      <xdr:col>16</xdr:col>
      <xdr:colOff>12492</xdr:colOff>
      <xdr:row>19</xdr:row>
      <xdr:rowOff>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tabSelected="1" zoomScale="82" zoomScaleNormal="100" workbookViewId="0">
      <selection activeCell="D7" sqref="D7"/>
    </sheetView>
  </sheetViews>
  <sheetFormatPr defaultRowHeight="14.4" x14ac:dyDescent="0.3"/>
  <cols>
    <col min="2" max="2" width="11.88671875" customWidth="1"/>
    <col min="3" max="3" width="11.5546875" customWidth="1"/>
    <col min="4" max="4" width="11.33203125" customWidth="1"/>
    <col min="5" max="5" width="11.88671875" customWidth="1"/>
    <col min="19" max="19" width="26.66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Q1" t="s">
        <v>5</v>
      </c>
      <c r="R1" t="s">
        <v>6</v>
      </c>
      <c r="S1" t="s">
        <v>7</v>
      </c>
    </row>
    <row r="2" spans="1:19" x14ac:dyDescent="0.3">
      <c r="A2">
        <v>2</v>
      </c>
      <c r="B2">
        <v>12</v>
      </c>
      <c r="C2">
        <v>13</v>
      </c>
      <c r="D2">
        <v>12</v>
      </c>
      <c r="E2">
        <v>12</v>
      </c>
      <c r="Q2">
        <v>20</v>
      </c>
      <c r="R2">
        <v>20</v>
      </c>
      <c r="S2">
        <f>0.922385620915*A2*A2+16.80637254902*A2-25.3022875817</f>
        <v>12</v>
      </c>
    </row>
    <row r="3" spans="1:19" x14ac:dyDescent="0.3">
      <c r="A3">
        <v>3</v>
      </c>
      <c r="B3">
        <v>26</v>
      </c>
      <c r="C3">
        <v>25</v>
      </c>
      <c r="D3">
        <v>25</v>
      </c>
      <c r="E3">
        <v>25</v>
      </c>
      <c r="Q3">
        <v>38</v>
      </c>
      <c r="R3">
        <v>24</v>
      </c>
      <c r="S3">
        <f t="shared" ref="S3:S19" si="0">0.922385620915*A3*A3+16.80637254902*A3-25.3022875817</f>
        <v>33.418300653595004</v>
      </c>
    </row>
    <row r="4" spans="1:19" x14ac:dyDescent="0.3">
      <c r="A4">
        <v>4</v>
      </c>
      <c r="B4">
        <v>35</v>
      </c>
      <c r="C4">
        <v>43</v>
      </c>
      <c r="D4">
        <v>43</v>
      </c>
      <c r="E4">
        <v>43</v>
      </c>
      <c r="Q4">
        <v>60</v>
      </c>
      <c r="R4">
        <v>28</v>
      </c>
      <c r="S4">
        <f t="shared" si="0"/>
        <v>56.681372549019997</v>
      </c>
    </row>
    <row r="5" spans="1:19" x14ac:dyDescent="0.3">
      <c r="A5">
        <v>5</v>
      </c>
      <c r="B5">
        <v>56</v>
      </c>
      <c r="C5">
        <v>52</v>
      </c>
      <c r="D5">
        <v>60</v>
      </c>
      <c r="E5">
        <v>65</v>
      </c>
      <c r="Q5">
        <v>86</v>
      </c>
      <c r="R5">
        <v>32</v>
      </c>
      <c r="S5">
        <f t="shared" si="0"/>
        <v>81.789215686275</v>
      </c>
    </row>
    <row r="6" spans="1:19" x14ac:dyDescent="0.3">
      <c r="A6">
        <v>6</v>
      </c>
      <c r="B6">
        <v>86</v>
      </c>
      <c r="C6">
        <v>78</v>
      </c>
      <c r="D6">
        <v>91</v>
      </c>
      <c r="E6">
        <v>62</v>
      </c>
      <c r="Q6">
        <v>116</v>
      </c>
      <c r="R6">
        <v>36</v>
      </c>
      <c r="S6">
        <f t="shared" si="0"/>
        <v>108.74183006536001</v>
      </c>
    </row>
    <row r="7" spans="1:19" x14ac:dyDescent="0.3">
      <c r="A7">
        <v>7</v>
      </c>
      <c r="B7">
        <v>109</v>
      </c>
      <c r="C7">
        <v>91</v>
      </c>
      <c r="D7">
        <v>88</v>
      </c>
      <c r="E7">
        <v>107</v>
      </c>
      <c r="Q7">
        <v>150</v>
      </c>
      <c r="R7">
        <v>40</v>
      </c>
      <c r="S7">
        <f t="shared" si="0"/>
        <v>137.53921568627501</v>
      </c>
    </row>
    <row r="8" spans="1:19" x14ac:dyDescent="0.3">
      <c r="A8">
        <v>8</v>
      </c>
      <c r="B8">
        <v>143</v>
      </c>
      <c r="C8">
        <v>154</v>
      </c>
      <c r="D8">
        <v>155</v>
      </c>
      <c r="E8">
        <v>88</v>
      </c>
      <c r="Q8">
        <v>188</v>
      </c>
      <c r="R8">
        <v>44</v>
      </c>
      <c r="S8">
        <f t="shared" si="0"/>
        <v>168.18137254902001</v>
      </c>
    </row>
    <row r="9" spans="1:19" x14ac:dyDescent="0.3">
      <c r="A9">
        <v>9</v>
      </c>
      <c r="B9">
        <v>120</v>
      </c>
      <c r="C9">
        <v>180</v>
      </c>
      <c r="D9">
        <v>180</v>
      </c>
      <c r="E9">
        <v>161</v>
      </c>
      <c r="Q9">
        <v>230</v>
      </c>
      <c r="R9">
        <v>48</v>
      </c>
      <c r="S9">
        <f t="shared" si="0"/>
        <v>200.66830065359503</v>
      </c>
    </row>
    <row r="10" spans="1:19" x14ac:dyDescent="0.3">
      <c r="A10">
        <v>10</v>
      </c>
      <c r="B10">
        <v>235</v>
      </c>
      <c r="C10">
        <v>234</v>
      </c>
      <c r="D10">
        <v>193</v>
      </c>
      <c r="E10">
        <v>202</v>
      </c>
      <c r="Q10">
        <v>276</v>
      </c>
      <c r="R10">
        <v>52</v>
      </c>
      <c r="S10">
        <f t="shared" si="0"/>
        <v>235</v>
      </c>
    </row>
    <row r="11" spans="1:19" x14ac:dyDescent="0.3">
      <c r="A11">
        <v>11</v>
      </c>
      <c r="B11">
        <v>281</v>
      </c>
      <c r="C11">
        <v>223</v>
      </c>
      <c r="D11">
        <v>280</v>
      </c>
      <c r="E11">
        <v>235</v>
      </c>
      <c r="Q11">
        <v>326</v>
      </c>
      <c r="R11">
        <v>56</v>
      </c>
      <c r="S11">
        <f t="shared" si="0"/>
        <v>271.17647058823502</v>
      </c>
    </row>
    <row r="12" spans="1:19" x14ac:dyDescent="0.3">
      <c r="A12">
        <v>12</v>
      </c>
      <c r="B12">
        <v>299</v>
      </c>
      <c r="C12">
        <v>275</v>
      </c>
      <c r="D12">
        <v>325</v>
      </c>
      <c r="E12">
        <v>275</v>
      </c>
      <c r="Q12">
        <v>380</v>
      </c>
      <c r="R12">
        <v>60</v>
      </c>
      <c r="S12">
        <f t="shared" si="0"/>
        <v>309.1977124183</v>
      </c>
    </row>
    <row r="13" spans="1:19" x14ac:dyDescent="0.3">
      <c r="A13">
        <v>13</v>
      </c>
      <c r="B13">
        <v>331</v>
      </c>
      <c r="C13">
        <v>375</v>
      </c>
      <c r="D13">
        <v>278</v>
      </c>
      <c r="E13">
        <v>373</v>
      </c>
      <c r="Q13">
        <v>438</v>
      </c>
      <c r="R13">
        <v>64</v>
      </c>
      <c r="S13">
        <f t="shared" si="0"/>
        <v>349.063725490195</v>
      </c>
    </row>
    <row r="14" spans="1:19" x14ac:dyDescent="0.3">
      <c r="A14">
        <v>14</v>
      </c>
      <c r="B14">
        <v>402</v>
      </c>
      <c r="C14">
        <v>418</v>
      </c>
      <c r="D14">
        <v>415</v>
      </c>
      <c r="E14">
        <v>372</v>
      </c>
      <c r="Q14">
        <v>500</v>
      </c>
      <c r="R14">
        <v>68</v>
      </c>
      <c r="S14">
        <f t="shared" si="0"/>
        <v>390.77450980392001</v>
      </c>
    </row>
    <row r="15" spans="1:19" x14ac:dyDescent="0.3">
      <c r="A15">
        <v>15</v>
      </c>
      <c r="B15">
        <v>477</v>
      </c>
      <c r="C15">
        <v>438</v>
      </c>
      <c r="D15">
        <v>496</v>
      </c>
      <c r="E15">
        <v>382</v>
      </c>
      <c r="Q15">
        <v>566</v>
      </c>
      <c r="R15">
        <v>72</v>
      </c>
      <c r="S15">
        <f t="shared" si="0"/>
        <v>434.33006535947499</v>
      </c>
    </row>
    <row r="16" spans="1:19" x14ac:dyDescent="0.3">
      <c r="A16">
        <v>16</v>
      </c>
      <c r="B16">
        <v>499</v>
      </c>
      <c r="C16">
        <v>504</v>
      </c>
      <c r="D16">
        <v>516</v>
      </c>
      <c r="E16">
        <v>561</v>
      </c>
      <c r="Q16">
        <v>636</v>
      </c>
      <c r="R16">
        <v>76</v>
      </c>
      <c r="S16">
        <f t="shared" si="0"/>
        <v>479.73039215685998</v>
      </c>
    </row>
    <row r="17" spans="1:19" x14ac:dyDescent="0.3">
      <c r="A17">
        <v>17</v>
      </c>
      <c r="B17">
        <v>426</v>
      </c>
      <c r="C17">
        <v>585</v>
      </c>
      <c r="D17">
        <v>638</v>
      </c>
      <c r="E17">
        <v>554</v>
      </c>
      <c r="Q17">
        <v>710</v>
      </c>
      <c r="R17">
        <v>80</v>
      </c>
      <c r="S17">
        <f t="shared" si="0"/>
        <v>526.97549019607504</v>
      </c>
    </row>
    <row r="18" spans="1:19" x14ac:dyDescent="0.3">
      <c r="A18">
        <v>18</v>
      </c>
      <c r="B18">
        <v>682</v>
      </c>
      <c r="C18">
        <v>636</v>
      </c>
      <c r="D18">
        <v>688</v>
      </c>
      <c r="E18">
        <v>665</v>
      </c>
      <c r="Q18">
        <v>788</v>
      </c>
      <c r="R18">
        <v>84</v>
      </c>
      <c r="S18">
        <f t="shared" si="0"/>
        <v>576.06535947711996</v>
      </c>
    </row>
    <row r="19" spans="1:19" x14ac:dyDescent="0.3">
      <c r="A19">
        <v>19</v>
      </c>
      <c r="B19">
        <v>627</v>
      </c>
      <c r="C19">
        <v>702</v>
      </c>
      <c r="D19">
        <v>789</v>
      </c>
      <c r="E19">
        <v>646</v>
      </c>
      <c r="Q19">
        <v>870</v>
      </c>
      <c r="R19">
        <v>88</v>
      </c>
      <c r="S19">
        <f t="shared" si="0"/>
        <v>626.999999999995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</dc:creator>
  <cp:lastModifiedBy>Vladimir</cp:lastModifiedBy>
  <dcterms:created xsi:type="dcterms:W3CDTF">2020-09-23T15:46:48Z</dcterms:created>
  <dcterms:modified xsi:type="dcterms:W3CDTF">2020-09-29T13:06:26Z</dcterms:modified>
</cp:coreProperties>
</file>